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ICLO 01-2026\"/>
    </mc:Choice>
  </mc:AlternateContent>
  <xr:revisionPtr revIDLastSave="0" documentId="13_ncr:1_{D9BCD98D-3752-41EE-892B-334180D68DA7}" xr6:coauthVersionLast="46" xr6:coauthVersionMax="46" xr10:uidLastSave="{00000000-0000-0000-0000-000000000000}"/>
  <bookViews>
    <workbookView xWindow="-120" yWindow="-120" windowWidth="24240" windowHeight="13020" xr2:uid="{2FD32707-94B8-40C9-8358-4575A4C16CB6}"/>
  </bookViews>
  <sheets>
    <sheet name="Hoja1" sheetId="1" r:id="rId1"/>
  </sheets>
  <definedNames>
    <definedName name="_xlnm.Print_Area" localSheetId="0">Hoja1!$A$1:$U$88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" i="1" l="1"/>
  <c r="J47" i="1"/>
  <c r="U16" i="1"/>
  <c r="K39" i="1" l="1"/>
  <c r="J39" i="1"/>
  <c r="K38" i="1"/>
  <c r="J38" i="1"/>
  <c r="K29" i="1"/>
  <c r="J29" i="1"/>
  <c r="K28" i="1"/>
  <c r="J28" i="1"/>
  <c r="K26" i="1"/>
  <c r="J26" i="1"/>
  <c r="K34" i="1"/>
  <c r="J34" i="1"/>
  <c r="K33" i="1"/>
  <c r="J33" i="1"/>
  <c r="K22" i="1"/>
  <c r="J22" i="1"/>
  <c r="K17" i="1"/>
  <c r="J17" i="1"/>
  <c r="K16" i="1"/>
  <c r="J16" i="1"/>
  <c r="K21" i="1"/>
  <c r="J21" i="1"/>
  <c r="K48" i="1"/>
  <c r="J48" i="1"/>
  <c r="K46" i="1"/>
  <c r="J46" i="1"/>
  <c r="G40" i="1"/>
  <c r="F40" i="1"/>
  <c r="K37" i="1"/>
  <c r="J37" i="1"/>
  <c r="K36" i="1"/>
  <c r="J36" i="1"/>
  <c r="K32" i="1"/>
  <c r="J32" i="1"/>
  <c r="K31" i="1"/>
  <c r="J31" i="1"/>
  <c r="K20" i="1"/>
  <c r="J20" i="1"/>
  <c r="K19" i="1"/>
  <c r="J19" i="1"/>
  <c r="K15" i="1"/>
  <c r="J15" i="1"/>
  <c r="K27" i="1"/>
  <c r="J27" i="1"/>
  <c r="K25" i="1"/>
  <c r="J25" i="1"/>
  <c r="K24" i="1"/>
  <c r="J24" i="1"/>
  <c r="T49" i="1"/>
  <c r="S49" i="1"/>
  <c r="R49" i="1"/>
  <c r="Q49" i="1"/>
  <c r="P49" i="1"/>
  <c r="O49" i="1"/>
  <c r="N49" i="1"/>
  <c r="M49" i="1"/>
  <c r="I49" i="1"/>
  <c r="H49" i="1"/>
  <c r="G49" i="1"/>
  <c r="F49" i="1"/>
  <c r="E49" i="1"/>
  <c r="D49" i="1"/>
  <c r="T35" i="1"/>
  <c r="S35" i="1"/>
  <c r="T30" i="1"/>
  <c r="S30" i="1"/>
  <c r="T23" i="1"/>
  <c r="S23" i="1"/>
  <c r="T18" i="1"/>
  <c r="S18" i="1"/>
  <c r="R35" i="1"/>
  <c r="Q35" i="1"/>
  <c r="R30" i="1"/>
  <c r="Q30" i="1"/>
  <c r="R23" i="1"/>
  <c r="Q23" i="1"/>
  <c r="R18" i="1"/>
  <c r="Q18" i="1"/>
  <c r="P35" i="1"/>
  <c r="O35" i="1"/>
  <c r="P30" i="1"/>
  <c r="O30" i="1"/>
  <c r="P23" i="1"/>
  <c r="O23" i="1"/>
  <c r="P18" i="1"/>
  <c r="O18" i="1"/>
  <c r="N35" i="1"/>
  <c r="M35" i="1"/>
  <c r="N30" i="1"/>
  <c r="M30" i="1"/>
  <c r="N23" i="1"/>
  <c r="M23" i="1"/>
  <c r="N18" i="1"/>
  <c r="M18" i="1"/>
  <c r="I35" i="1"/>
  <c r="H35" i="1"/>
  <c r="I30" i="1"/>
  <c r="H30" i="1"/>
  <c r="I23" i="1"/>
  <c r="H23" i="1"/>
  <c r="I18" i="1"/>
  <c r="H18" i="1"/>
  <c r="G35" i="1"/>
  <c r="F35" i="1"/>
  <c r="G30" i="1"/>
  <c r="F30" i="1"/>
  <c r="G23" i="1"/>
  <c r="F23" i="1"/>
  <c r="G18" i="1"/>
  <c r="F18" i="1"/>
  <c r="J40" i="1" l="1"/>
  <c r="K18" i="1"/>
  <c r="K35" i="1"/>
  <c r="J23" i="1"/>
  <c r="K23" i="1"/>
  <c r="K40" i="1"/>
  <c r="J49" i="1"/>
  <c r="K49" i="1"/>
  <c r="J18" i="1"/>
  <c r="J35" i="1"/>
  <c r="J30" i="1"/>
  <c r="K30" i="1"/>
  <c r="D35" i="1"/>
  <c r="E35" i="1"/>
  <c r="D23" i="1"/>
  <c r="E23" i="1"/>
  <c r="D18" i="1"/>
  <c r="E18" i="1"/>
  <c r="D30" i="1"/>
  <c r="E30" i="1"/>
  <c r="C57" i="1" l="1"/>
  <c r="C56" i="1"/>
  <c r="U20" i="1"/>
  <c r="U48" i="1"/>
  <c r="U34" i="1" l="1"/>
  <c r="U37" i="1"/>
  <c r="U27" i="1" l="1"/>
  <c r="C55" i="1" s="1"/>
</calcChain>
</file>

<file path=xl/sharedStrings.xml><?xml version="1.0" encoding="utf-8"?>
<sst xmlns="http://schemas.openxmlformats.org/spreadsheetml/2006/main" count="114" uniqueCount="41">
  <si>
    <t>INGENIERIA AGRONOMICA</t>
  </si>
  <si>
    <t>CARRERAS</t>
  </si>
  <si>
    <t xml:space="preserve">                                                MATRICULA</t>
  </si>
  <si>
    <t xml:space="preserve">TOTAL </t>
  </si>
  <si>
    <t>NUEVO INGRESO</t>
  </si>
  <si>
    <t>ANTIGUO INGRESO</t>
  </si>
  <si>
    <t>EQUIVALENCIAS</t>
  </si>
  <si>
    <t xml:space="preserve">                                   RETIRADOS</t>
  </si>
  <si>
    <t>II</t>
  </si>
  <si>
    <t>TOTALES</t>
  </si>
  <si>
    <t>DE EMPRESAS</t>
  </si>
  <si>
    <t>DE LA COMPUTACIÓN</t>
  </si>
  <si>
    <t xml:space="preserve">LICENCIATURA EN CIENCIAS DE LA </t>
  </si>
  <si>
    <t>M</t>
  </si>
  <si>
    <t>H</t>
  </si>
  <si>
    <t>POR CARRERA</t>
  </si>
  <si>
    <t>Nº DE</t>
  </si>
  <si>
    <t>ORDEN</t>
  </si>
  <si>
    <t>CICLO</t>
  </si>
  <si>
    <t>RESUMEN GENERAL</t>
  </si>
  <si>
    <t xml:space="preserve">             LIC. JOSE AUGUSTO HERNANDEZ GONZALEZ</t>
  </si>
  <si>
    <t>DECANO DE LA FACULTAD DE CIENCIAS Y HUMANIDADES Y</t>
  </si>
  <si>
    <t>ADMINISTRADOR EN FUNCIONES DE REGISTRO ACADEMICO AD HONOREM</t>
  </si>
  <si>
    <t>Página 1/2</t>
  </si>
  <si>
    <t>Página 2/2</t>
  </si>
  <si>
    <t>TOTAL HOMBRES =</t>
  </si>
  <si>
    <t>TOTAL MUJERES=</t>
  </si>
  <si>
    <t>TOTAL ALUMNOS INSCRITOS =</t>
  </si>
  <si>
    <t>TOTAL INSCRITOS</t>
  </si>
  <si>
    <t>IX</t>
  </si>
  <si>
    <t>LIC. EN CIENCIAS DE LA EDUCACIÓN</t>
  </si>
  <si>
    <t>I</t>
  </si>
  <si>
    <t>III</t>
  </si>
  <si>
    <t xml:space="preserve">                                PREESPECIALIZACION</t>
  </si>
  <si>
    <t xml:space="preserve">                                               EXCELENCIA</t>
  </si>
  <si>
    <t>LIC. EN CIENCIAS JURIDICAS</t>
  </si>
  <si>
    <t>V</t>
  </si>
  <si>
    <t>VII</t>
  </si>
  <si>
    <t xml:space="preserve">LIC. EN ADMINISTRACION </t>
  </si>
  <si>
    <t xml:space="preserve">LIC. EN CONTADURIA </t>
  </si>
  <si>
    <t>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</si>
</sst>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1" fillId="0" borderId="2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/>
    </xf>
    <xf numFmtId="0" fontId="3" fillId="0" borderId="25" xfId="0" applyFont="1" applyBorder="1" applyAlignment="1" applyProtection="1">
      <alignment horizontal="center"/>
      <protection locked="0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5" borderId="2" xfId="0" applyFont="1" applyFill="1" applyBorder="1" applyAlignment="1" applyProtection="1">
      <alignment horizontal="center"/>
      <protection locked="0"/>
    </xf>
    <xf numFmtId="0" fontId="3" fillId="3" borderId="30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5" fillId="7" borderId="30" xfId="0" applyFont="1" applyFill="1" applyBorder="1" applyAlignment="1">
      <alignment horizontal="center"/>
    </xf>
    <xf numFmtId="0" fontId="6" fillId="0" borderId="10" xfId="0" applyFont="1" applyBorder="1"/>
    <xf numFmtId="0" fontId="6" fillId="0" borderId="17" xfId="0" applyFont="1" applyBorder="1"/>
    <xf numFmtId="0" fontId="6" fillId="0" borderId="22" xfId="0" applyFont="1" applyBorder="1"/>
    <xf numFmtId="0" fontId="6" fillId="0" borderId="25" xfId="0" applyFont="1" applyBorder="1"/>
    <xf numFmtId="0" fontId="7" fillId="0" borderId="25" xfId="0" applyFont="1" applyBorder="1" applyAlignment="1">
      <alignment horizontal="center"/>
    </xf>
    <xf numFmtId="0" fontId="6" fillId="0" borderId="11" xfId="0" applyFont="1" applyBorder="1"/>
    <xf numFmtId="0" fontId="6" fillId="0" borderId="18" xfId="0" applyFont="1" applyBorder="1"/>
    <xf numFmtId="0" fontId="6" fillId="0" borderId="20" xfId="0" applyFont="1" applyBorder="1"/>
    <xf numFmtId="0" fontId="8" fillId="0" borderId="25" xfId="0" applyFont="1" applyBorder="1" applyAlignment="1">
      <alignment horizontal="center"/>
    </xf>
    <xf numFmtId="0" fontId="7" fillId="0" borderId="26" xfId="0" applyFont="1" applyBorder="1"/>
    <xf numFmtId="0" fontId="6" fillId="0" borderId="26" xfId="0" applyFont="1" applyBorder="1"/>
    <xf numFmtId="0" fontId="7" fillId="0" borderId="28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6" fillId="0" borderId="4" xfId="0" applyFont="1" applyBorder="1"/>
    <xf numFmtId="0" fontId="6" fillId="0" borderId="23" xfId="0" applyFont="1" applyBorder="1"/>
    <xf numFmtId="0" fontId="6" fillId="0" borderId="0" xfId="0" applyFont="1"/>
    <xf numFmtId="0" fontId="7" fillId="6" borderId="2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right"/>
    </xf>
    <xf numFmtId="0" fontId="7" fillId="0" borderId="0" xfId="0" applyFont="1" applyAlignment="1">
      <alignment horizontal="center"/>
    </xf>
    <xf numFmtId="49" fontId="7" fillId="0" borderId="2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25" xfId="0" applyNumberFormat="1" applyFont="1" applyBorder="1" applyAlignment="1">
      <alignment horizontal="center"/>
    </xf>
    <xf numFmtId="0" fontId="7" fillId="6" borderId="26" xfId="0" applyFont="1" applyFill="1" applyBorder="1" applyAlignment="1">
      <alignment horizontal="right"/>
    </xf>
    <xf numFmtId="49" fontId="7" fillId="0" borderId="27" xfId="0" applyNumberFormat="1" applyFont="1" applyBorder="1" applyAlignment="1">
      <alignment horizontal="center"/>
    </xf>
    <xf numFmtId="0" fontId="7" fillId="6" borderId="8" xfId="0" applyFont="1" applyFill="1" applyBorder="1" applyAlignment="1">
      <alignment horizontal="right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9" fillId="0" borderId="31" xfId="0" applyFont="1" applyBorder="1"/>
    <xf numFmtId="0" fontId="1" fillId="0" borderId="27" xfId="0" applyFont="1" applyBorder="1" applyAlignment="1">
      <alignment horizontal="center"/>
    </xf>
    <xf numFmtId="0" fontId="0" fillId="0" borderId="9" xfId="0" applyBorder="1"/>
    <xf numFmtId="49" fontId="7" fillId="0" borderId="0" xfId="0" applyNumberFormat="1" applyFont="1" applyAlignment="1">
      <alignment horizontal="center" wrapText="1"/>
    </xf>
    <xf numFmtId="0" fontId="0" fillId="0" borderId="1" xfId="0" applyBorder="1"/>
    <xf numFmtId="0" fontId="4" fillId="0" borderId="6" xfId="0" applyFont="1" applyBorder="1"/>
    <xf numFmtId="0" fontId="4" fillId="0" borderId="7" xfId="0" applyFont="1" applyBorder="1"/>
    <xf numFmtId="49" fontId="7" fillId="0" borderId="0" xfId="0" applyNumberFormat="1" applyFont="1" applyAlignment="1">
      <alignment horizontal="center"/>
    </xf>
    <xf numFmtId="0" fontId="7" fillId="5" borderId="12" xfId="0" applyFont="1" applyFill="1" applyBorder="1"/>
    <xf numFmtId="0" fontId="7" fillId="4" borderId="32" xfId="0" applyFont="1" applyFill="1" applyBorder="1"/>
    <xf numFmtId="0" fontId="7" fillId="6" borderId="32" xfId="0" applyFont="1" applyFill="1" applyBorder="1"/>
    <xf numFmtId="0" fontId="6" fillId="0" borderId="33" xfId="0" applyFont="1" applyBorder="1"/>
    <xf numFmtId="0" fontId="7" fillId="0" borderId="0" xfId="0" applyFont="1"/>
    <xf numFmtId="0" fontId="6" fillId="0" borderId="14" xfId="0" applyFont="1" applyBorder="1"/>
    <xf numFmtId="0" fontId="6" fillId="0" borderId="15" xfId="0" applyFont="1" applyBorder="1"/>
    <xf numFmtId="0" fontId="7" fillId="4" borderId="16" xfId="0" applyFont="1" applyFill="1" applyBorder="1"/>
    <xf numFmtId="0" fontId="7" fillId="6" borderId="16" xfId="0" applyFont="1" applyFill="1" applyBorder="1"/>
    <xf numFmtId="0" fontId="3" fillId="5" borderId="30" xfId="0" applyFont="1" applyFill="1" applyBorder="1" applyAlignment="1" applyProtection="1">
      <alignment horizontal="center"/>
      <protection locked="0"/>
    </xf>
    <xf numFmtId="0" fontId="7" fillId="5" borderId="29" xfId="0" applyFont="1" applyFill="1" applyBorder="1"/>
    <xf numFmtId="0" fontId="7" fillId="6" borderId="29" xfId="0" applyFont="1" applyFill="1" applyBorder="1"/>
    <xf numFmtId="0" fontId="7" fillId="6" borderId="16" xfId="0" applyFont="1" applyFill="1" applyBorder="1" applyAlignment="1">
      <alignment horizontal="center" vertical="center"/>
    </xf>
    <xf numFmtId="0" fontId="7" fillId="3" borderId="29" xfId="0" applyFont="1" applyFill="1" applyBorder="1"/>
    <xf numFmtId="0" fontId="3" fillId="3" borderId="2" xfId="0" applyFont="1" applyFill="1" applyBorder="1" applyAlignment="1" applyProtection="1">
      <alignment horizontal="center"/>
      <protection locked="0"/>
    </xf>
    <xf numFmtId="0" fontId="7" fillId="3" borderId="16" xfId="0" applyFont="1" applyFill="1" applyBorder="1"/>
    <xf numFmtId="0" fontId="3" fillId="5" borderId="34" xfId="0" applyFont="1" applyFill="1" applyBorder="1" applyAlignment="1" applyProtection="1">
      <alignment horizontal="center"/>
      <protection locked="0"/>
    </xf>
    <xf numFmtId="0" fontId="7" fillId="5" borderId="13" xfId="0" applyFont="1" applyFill="1" applyBorder="1"/>
    <xf numFmtId="0" fontId="3" fillId="3" borderId="5" xfId="0" applyFont="1" applyFill="1" applyBorder="1" applyAlignment="1" applyProtection="1">
      <alignment horizontal="center"/>
      <protection locked="0"/>
    </xf>
    <xf numFmtId="0" fontId="7" fillId="3" borderId="32" xfId="0" applyFont="1" applyFill="1" applyBorder="1"/>
    <xf numFmtId="0" fontId="6" fillId="0" borderId="1" xfId="0" applyFont="1" applyBorder="1"/>
    <xf numFmtId="0" fontId="6" fillId="0" borderId="35" xfId="0" applyFont="1" applyBorder="1"/>
    <xf numFmtId="0" fontId="3" fillId="5" borderId="36" xfId="0" applyFont="1" applyFill="1" applyBorder="1" applyAlignment="1" applyProtection="1">
      <alignment horizontal="center"/>
      <protection locked="0"/>
    </xf>
    <xf numFmtId="0" fontId="1" fillId="0" borderId="2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0" fillId="0" borderId="0" xfId="0" applyFont="1"/>
    <xf numFmtId="0" fontId="7" fillId="5" borderId="19" xfId="0" applyFont="1" applyFill="1" applyBorder="1"/>
    <xf numFmtId="0" fontId="9" fillId="0" borderId="0" xfId="0" applyFont="1" applyAlignment="1">
      <alignment horizontal="center"/>
    </xf>
    <xf numFmtId="0" fontId="11" fillId="0" borderId="27" xfId="0" applyFont="1" applyBorder="1"/>
    <xf numFmtId="0" fontId="8" fillId="0" borderId="27" xfId="0" applyFont="1" applyBorder="1"/>
    <xf numFmtId="0" fontId="8" fillId="0" borderId="4" xfId="0" applyFont="1" applyBorder="1"/>
    <xf numFmtId="0" fontId="8" fillId="0" borderId="26" xfId="0" applyFont="1" applyBorder="1"/>
    <xf numFmtId="0" fontId="11" fillId="0" borderId="8" xfId="0" applyFont="1" applyBorder="1"/>
    <xf numFmtId="0" fontId="11" fillId="0" borderId="28" xfId="0" applyFont="1" applyBorder="1"/>
    <xf numFmtId="0" fontId="7" fillId="0" borderId="35" xfId="0" applyFont="1" applyBorder="1" applyAlignment="1">
      <alignment horizontal="center"/>
    </xf>
    <xf numFmtId="0" fontId="6" fillId="0" borderId="37" xfId="0" applyFont="1" applyBorder="1"/>
    <xf numFmtId="0" fontId="7" fillId="0" borderId="0" xfId="0" applyFont="1" applyAlignment="1">
      <alignment horizontal="left" indent="1"/>
    </xf>
    <xf numFmtId="49" fontId="7" fillId="0" borderId="0" xfId="0" applyNumberFormat="1" applyFont="1" applyAlignment="1">
      <alignment horizontal="left"/>
    </xf>
    <xf numFmtId="0" fontId="7" fillId="0" borderId="38" xfId="0" applyFont="1" applyBorder="1" applyAlignment="1">
      <alignment horizontal="center"/>
    </xf>
    <xf numFmtId="0" fontId="8" fillId="0" borderId="25" xfId="0" applyFont="1" applyBorder="1"/>
    <xf numFmtId="0" fontId="5" fillId="7" borderId="2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5" borderId="30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right"/>
    </xf>
    <xf numFmtId="0" fontId="5" fillId="3" borderId="25" xfId="0" applyFont="1" applyFill="1" applyBorder="1" applyAlignment="1">
      <alignment horizontal="center"/>
    </xf>
    <xf numFmtId="0" fontId="7" fillId="0" borderId="25" xfId="0" applyFont="1" applyBorder="1" applyAlignment="1">
      <alignment horizontal="left" indent="1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781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280147</xdr:colOff>
      <xdr:row>0</xdr:row>
      <xdr:rowOff>20123</xdr:rowOff>
    </xdr:from>
    <xdr:to>
      <xdr:col>21</xdr:col>
      <xdr:colOff>1574</xdr:colOff>
      <xdr:row>9</xdr:row>
      <xdr:rowOff>125802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0147" y="20123"/>
          <a:ext cx="12714965" cy="180400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latin typeface="Arial Black" panose="020B0A04020102020204" pitchFamily="34" charset="0"/>
            </a:rPr>
            <a:t>UNIVERSIDAD MONSEÑOR OSCAR ARNULFO ROMERO</a:t>
          </a:r>
        </a:p>
        <a:p>
          <a:pPr algn="ctr"/>
          <a:endParaRPr lang="en-US" sz="600">
            <a:latin typeface="Arial Black" panose="020B0A04020102020204" pitchFamily="34" charset="0"/>
          </a:endParaRPr>
        </a:p>
        <a:p>
          <a:pPr algn="ctr"/>
          <a:r>
            <a:rPr lang="en-US" sz="1800">
              <a:latin typeface="Arial Black" panose="020B0A04020102020204" pitchFamily="34" charset="0"/>
            </a:rPr>
            <a:t>REGISTRO ACADEMICO</a:t>
          </a:r>
        </a:p>
        <a:p>
          <a:pPr algn="ctr"/>
          <a:r>
            <a:rPr lang="en-US" sz="1800">
              <a:latin typeface="Arial Black" panose="020B0A04020102020204" pitchFamily="34" charset="0"/>
            </a:rPr>
            <a:t>CICLO ACADEMICO 01-2026</a:t>
          </a:r>
        </a:p>
        <a:p>
          <a:pPr algn="ctr"/>
          <a:endParaRPr lang="en-US" sz="600">
            <a:latin typeface="Arial Black" panose="020B0A04020102020204" pitchFamily="34" charset="0"/>
          </a:endParaRPr>
        </a:p>
        <a:p>
          <a:pPr algn="ctr"/>
          <a:r>
            <a:rPr lang="en-US" sz="1800">
              <a:latin typeface="Arial Black" panose="020B0A04020102020204" pitchFamily="34" charset="0"/>
            </a:rPr>
            <a:t>ESTADISTICA</a:t>
          </a:r>
          <a:r>
            <a:rPr lang="en-US" sz="1800" baseline="0">
              <a:latin typeface="Arial Black" panose="020B0A04020102020204" pitchFamily="34" charset="0"/>
            </a:rPr>
            <a:t> MENSUAL CORRESPONDIENTE AL MES DE ENERO DE 2026</a:t>
          </a:r>
          <a:endParaRPr lang="en-US" sz="1200">
            <a:latin typeface="Arial Black" panose="020B0A040201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390525</xdr:colOff>
          <xdr:row>0</xdr:row>
          <xdr:rowOff>161925</xdr:rowOff>
        </xdr:from>
        <xdr:to>
          <xdr:col>1</xdr:col>
          <xdr:colOff>1295400</xdr:colOff>
          <xdr:row>5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4A71-0EF1-4469-8409-08288E1B80D4}">
  <dimension ref="A11:U79"/>
  <sheetViews>
    <sheetView tabSelected="1" view="pageBreakPreview" topLeftCell="A16" zoomScale="106" zoomScaleNormal="87" zoomScaleSheetLayoutView="106" zoomScalePageLayoutView="53" workbookViewId="0">
      <selection activeCell="B27" sqref="B27"/>
    </sheetView>
  </sheetViews>
  <sheetFormatPr baseColWidth="10" defaultRowHeight="15" x14ac:dyDescent="0.25"/>
  <cols>
    <col min="1" max="1" width="6.85546875" customWidth="1"/>
    <col min="2" max="2" width="41.5703125" customWidth="1"/>
    <col min="3" max="3" width="7.140625" customWidth="1"/>
    <col min="4" max="6" width="7.85546875" customWidth="1"/>
    <col min="7" max="7" width="8.140625" customWidth="1"/>
    <col min="8" max="8" width="7.42578125" customWidth="1"/>
    <col min="9" max="9" width="7.85546875" customWidth="1"/>
    <col min="10" max="10" width="7" customWidth="1"/>
    <col min="11" max="11" width="7.7109375" customWidth="1"/>
    <col min="12" max="12" width="1.7109375" customWidth="1"/>
    <col min="13" max="13" width="7.42578125" customWidth="1"/>
    <col min="14" max="14" width="7.85546875" customWidth="1"/>
    <col min="15" max="15" width="7.5703125" customWidth="1"/>
    <col min="16" max="16" width="8.7109375" customWidth="1"/>
    <col min="17" max="17" width="7" customWidth="1"/>
    <col min="18" max="18" width="7.42578125" customWidth="1"/>
    <col min="19" max="19" width="7.5703125" customWidth="1"/>
    <col min="20" max="20" width="7.7109375" customWidth="1"/>
    <col min="21" max="21" width="15" customWidth="1"/>
  </cols>
  <sheetData>
    <row r="11" spans="1:21" ht="15.75" thickBot="1" x14ac:dyDescent="0.3"/>
    <row r="12" spans="1:21" ht="23.25" customHeight="1" thickBot="1" x14ac:dyDescent="0.3">
      <c r="A12" s="56"/>
      <c r="B12" s="1"/>
      <c r="C12" s="2"/>
      <c r="D12" s="5" t="s">
        <v>2</v>
      </c>
      <c r="E12" s="5"/>
      <c r="F12" s="2"/>
      <c r="G12" s="2"/>
      <c r="H12" s="2"/>
      <c r="I12" s="2"/>
      <c r="J12" s="2"/>
      <c r="K12" s="3"/>
      <c r="L12" s="2"/>
      <c r="M12" s="4" t="s">
        <v>2</v>
      </c>
      <c r="N12" s="5" t="s">
        <v>7</v>
      </c>
      <c r="O12" s="2"/>
      <c r="P12" s="2"/>
      <c r="Q12" s="2"/>
      <c r="R12" s="2"/>
      <c r="S12" s="2"/>
      <c r="T12" s="2"/>
      <c r="U12" s="3"/>
    </row>
    <row r="13" spans="1:21" ht="33.75" customHeight="1" thickBot="1" x14ac:dyDescent="0.3">
      <c r="A13" s="57" t="s">
        <v>16</v>
      </c>
      <c r="B13" s="9" t="s">
        <v>1</v>
      </c>
      <c r="C13" s="53" t="s">
        <v>18</v>
      </c>
      <c r="D13" s="110" t="s">
        <v>4</v>
      </c>
      <c r="E13" s="111"/>
      <c r="F13" s="110" t="s">
        <v>5</v>
      </c>
      <c r="G13" s="111"/>
      <c r="H13" s="110" t="s">
        <v>6</v>
      </c>
      <c r="I13" s="112"/>
      <c r="J13" s="111" t="s">
        <v>3</v>
      </c>
      <c r="K13" s="112"/>
      <c r="L13" s="6"/>
      <c r="M13" s="107" t="s">
        <v>4</v>
      </c>
      <c r="N13" s="113"/>
      <c r="O13" s="106" t="s">
        <v>5</v>
      </c>
      <c r="P13" s="107"/>
      <c r="Q13" s="108" t="s">
        <v>6</v>
      </c>
      <c r="R13" s="109"/>
      <c r="S13" s="107" t="s">
        <v>3</v>
      </c>
      <c r="T13" s="107"/>
      <c r="U13" s="84" t="s">
        <v>28</v>
      </c>
    </row>
    <row r="14" spans="1:21" ht="15.75" thickBot="1" x14ac:dyDescent="0.3">
      <c r="A14" s="58" t="s">
        <v>17</v>
      </c>
      <c r="B14" s="11"/>
      <c r="C14" s="54"/>
      <c r="D14" s="74" t="s">
        <v>14</v>
      </c>
      <c r="E14" s="76" t="s">
        <v>13</v>
      </c>
      <c r="F14" s="74" t="s">
        <v>14</v>
      </c>
      <c r="G14" s="76" t="s">
        <v>13</v>
      </c>
      <c r="H14" s="78" t="s">
        <v>14</v>
      </c>
      <c r="I14" s="76" t="s">
        <v>13</v>
      </c>
      <c r="J14" s="74" t="s">
        <v>14</v>
      </c>
      <c r="K14" s="76" t="s">
        <v>13</v>
      </c>
      <c r="L14" s="7"/>
      <c r="M14" s="74" t="s">
        <v>14</v>
      </c>
      <c r="N14" s="82" t="s">
        <v>13</v>
      </c>
      <c r="O14" s="74" t="s">
        <v>14</v>
      </c>
      <c r="P14" s="82" t="s">
        <v>13</v>
      </c>
      <c r="Q14" s="74" t="s">
        <v>14</v>
      </c>
      <c r="R14" s="76" t="s">
        <v>13</v>
      </c>
      <c r="S14" s="78" t="s">
        <v>14</v>
      </c>
      <c r="T14" s="82" t="s">
        <v>13</v>
      </c>
      <c r="U14" s="83" t="s">
        <v>15</v>
      </c>
    </row>
    <row r="15" spans="1:21" ht="24.95" customHeight="1" x14ac:dyDescent="0.3">
      <c r="A15" s="9">
        <v>1</v>
      </c>
      <c r="B15" s="55" t="s">
        <v>30</v>
      </c>
      <c r="C15" s="47" t="s">
        <v>29</v>
      </c>
      <c r="D15" s="65">
        <v>0</v>
      </c>
      <c r="E15" s="18">
        <v>0</v>
      </c>
      <c r="F15" s="65">
        <v>5</v>
      </c>
      <c r="G15" s="18">
        <v>11</v>
      </c>
      <c r="H15" s="20">
        <v>0</v>
      </c>
      <c r="I15" s="18">
        <v>0</v>
      </c>
      <c r="J15" s="65">
        <f t="shared" ref="J15:K17" si="0">D15+F15+H15</f>
        <v>5</v>
      </c>
      <c r="K15" s="18">
        <f t="shared" si="0"/>
        <v>11</v>
      </c>
      <c r="L15" s="21"/>
      <c r="M15" s="65">
        <v>0</v>
      </c>
      <c r="N15" s="18">
        <v>0</v>
      </c>
      <c r="O15" s="65">
        <v>0</v>
      </c>
      <c r="P15" s="18">
        <v>0</v>
      </c>
      <c r="Q15" s="65">
        <v>0</v>
      </c>
      <c r="R15" s="18">
        <v>0</v>
      </c>
      <c r="S15" s="20">
        <v>0</v>
      </c>
      <c r="T15" s="18">
        <v>0</v>
      </c>
      <c r="U15" s="30"/>
    </row>
    <row r="16" spans="1:21" ht="24.95" customHeight="1" x14ac:dyDescent="0.3">
      <c r="A16" s="9"/>
      <c r="B16" s="96" t="s">
        <v>33</v>
      </c>
      <c r="C16" s="48"/>
      <c r="D16" s="66">
        <v>0</v>
      </c>
      <c r="E16" s="23">
        <v>0</v>
      </c>
      <c r="F16" s="66">
        <v>2</v>
      </c>
      <c r="G16" s="23">
        <v>11</v>
      </c>
      <c r="H16" s="32">
        <v>0</v>
      </c>
      <c r="I16" s="23">
        <v>0</v>
      </c>
      <c r="J16" s="66">
        <f t="shared" si="0"/>
        <v>2</v>
      </c>
      <c r="K16" s="23">
        <f t="shared" si="0"/>
        <v>11</v>
      </c>
      <c r="L16" s="21"/>
      <c r="M16" s="81"/>
      <c r="N16" s="25"/>
      <c r="O16" s="81"/>
      <c r="P16" s="25"/>
      <c r="Q16" s="81"/>
      <c r="R16" s="25"/>
      <c r="S16" s="95"/>
      <c r="T16" s="25"/>
      <c r="U16" s="30">
        <f>J19+K19</f>
        <v>30</v>
      </c>
    </row>
    <row r="17" spans="1:21" ht="24.95" customHeight="1" x14ac:dyDescent="0.3">
      <c r="A17" s="9"/>
      <c r="B17" s="97" t="s">
        <v>34</v>
      </c>
      <c r="C17" s="94"/>
      <c r="D17" s="81">
        <v>0</v>
      </c>
      <c r="E17" s="25">
        <v>0</v>
      </c>
      <c r="F17" s="81">
        <v>1</v>
      </c>
      <c r="G17" s="25">
        <v>0</v>
      </c>
      <c r="H17" s="95">
        <v>0</v>
      </c>
      <c r="I17" s="25">
        <v>0</v>
      </c>
      <c r="J17" s="81">
        <f t="shared" si="0"/>
        <v>1</v>
      </c>
      <c r="K17" s="25">
        <f t="shared" si="0"/>
        <v>0</v>
      </c>
      <c r="L17" s="21"/>
      <c r="M17" s="81"/>
      <c r="N17" s="25"/>
      <c r="O17" s="81"/>
      <c r="P17" s="25"/>
      <c r="Q17" s="81"/>
      <c r="R17" s="25"/>
      <c r="S17" s="95"/>
      <c r="T17" s="25"/>
      <c r="U17" s="30"/>
    </row>
    <row r="18" spans="1:21" ht="24.95" customHeight="1" thickBot="1" x14ac:dyDescent="0.35">
      <c r="A18" s="11"/>
      <c r="B18" s="35" t="s">
        <v>9</v>
      </c>
      <c r="C18" s="49"/>
      <c r="D18" s="75">
        <f t="shared" ref="D18:I18" si="1">SUM(D15:D17)</f>
        <v>0</v>
      </c>
      <c r="E18" s="77">
        <f t="shared" si="1"/>
        <v>0</v>
      </c>
      <c r="F18" s="75">
        <f t="shared" si="1"/>
        <v>8</v>
      </c>
      <c r="G18" s="77">
        <f t="shared" si="1"/>
        <v>22</v>
      </c>
      <c r="H18" s="79">
        <f t="shared" si="1"/>
        <v>0</v>
      </c>
      <c r="I18" s="77">
        <f t="shared" si="1"/>
        <v>0</v>
      </c>
      <c r="J18" s="75">
        <f>SUM(J13:J17)</f>
        <v>8</v>
      </c>
      <c r="K18" s="77">
        <f>SUM(K15:K17)</f>
        <v>22</v>
      </c>
      <c r="L18" s="27"/>
      <c r="M18" s="68">
        <f t="shared" ref="M18:T18" si="2">SUM(M15:M17)</f>
        <v>0</v>
      </c>
      <c r="N18" s="77">
        <f t="shared" si="2"/>
        <v>0</v>
      </c>
      <c r="O18" s="68">
        <f t="shared" si="2"/>
        <v>0</v>
      </c>
      <c r="P18" s="77">
        <f t="shared" si="2"/>
        <v>0</v>
      </c>
      <c r="Q18" s="68">
        <f t="shared" si="2"/>
        <v>0</v>
      </c>
      <c r="R18" s="77">
        <f t="shared" si="2"/>
        <v>0</v>
      </c>
      <c r="S18" s="62">
        <f t="shared" si="2"/>
        <v>0</v>
      </c>
      <c r="T18" s="77">
        <f t="shared" si="2"/>
        <v>0</v>
      </c>
      <c r="U18" s="92"/>
    </row>
    <row r="19" spans="1:21" ht="24.95" customHeight="1" x14ac:dyDescent="0.3">
      <c r="A19" s="38">
        <v>2</v>
      </c>
      <c r="B19" s="39" t="s">
        <v>35</v>
      </c>
      <c r="C19" s="47" t="s">
        <v>31</v>
      </c>
      <c r="D19" s="65">
        <v>10</v>
      </c>
      <c r="E19" s="18">
        <v>20</v>
      </c>
      <c r="F19" s="65">
        <v>0</v>
      </c>
      <c r="G19" s="18">
        <v>0</v>
      </c>
      <c r="H19" s="20">
        <v>0</v>
      </c>
      <c r="I19" s="18">
        <v>0</v>
      </c>
      <c r="J19" s="80">
        <f t="shared" ref="J19:K20" si="3">D19+F19+H19</f>
        <v>10</v>
      </c>
      <c r="K19" s="63">
        <f t="shared" si="3"/>
        <v>20</v>
      </c>
      <c r="L19" s="21"/>
      <c r="M19" s="65">
        <v>0</v>
      </c>
      <c r="N19" s="18">
        <v>0</v>
      </c>
      <c r="O19" s="65">
        <v>0</v>
      </c>
      <c r="P19" s="18">
        <v>0</v>
      </c>
      <c r="Q19" s="65">
        <v>0</v>
      </c>
      <c r="R19" s="18">
        <v>0</v>
      </c>
      <c r="S19" s="20">
        <v>0</v>
      </c>
      <c r="T19" s="18">
        <v>0</v>
      </c>
      <c r="U19" s="88"/>
    </row>
    <row r="20" spans="1:21" ht="24.95" customHeight="1" x14ac:dyDescent="0.3">
      <c r="A20" s="38"/>
      <c r="B20" s="40"/>
      <c r="C20" s="48" t="s">
        <v>32</v>
      </c>
      <c r="D20" s="66">
        <v>0</v>
      </c>
      <c r="E20" s="23">
        <v>0</v>
      </c>
      <c r="F20" s="66">
        <v>23</v>
      </c>
      <c r="G20" s="23">
        <v>38</v>
      </c>
      <c r="H20" s="32">
        <v>0</v>
      </c>
      <c r="I20" s="23">
        <v>0</v>
      </c>
      <c r="J20" s="66">
        <f t="shared" si="3"/>
        <v>23</v>
      </c>
      <c r="K20" s="23">
        <f t="shared" si="3"/>
        <v>38</v>
      </c>
      <c r="L20" s="21"/>
      <c r="M20" s="66">
        <v>0</v>
      </c>
      <c r="N20" s="23">
        <v>0</v>
      </c>
      <c r="O20" s="66">
        <v>0</v>
      </c>
      <c r="P20" s="23">
        <v>0</v>
      </c>
      <c r="Q20" s="66">
        <v>0</v>
      </c>
      <c r="R20" s="23">
        <v>0</v>
      </c>
      <c r="S20" s="32">
        <v>0</v>
      </c>
      <c r="T20" s="23">
        <v>0</v>
      </c>
      <c r="U20" s="30">
        <f>J23+K23</f>
        <v>122</v>
      </c>
    </row>
    <row r="21" spans="1:21" ht="24.95" customHeight="1" x14ac:dyDescent="0.3">
      <c r="A21" s="38"/>
      <c r="B21" s="40"/>
      <c r="C21" s="48" t="s">
        <v>36</v>
      </c>
      <c r="D21" s="66">
        <v>0</v>
      </c>
      <c r="E21" s="23">
        <v>0</v>
      </c>
      <c r="F21" s="66">
        <v>6</v>
      </c>
      <c r="G21" s="23">
        <v>7</v>
      </c>
      <c r="H21" s="32">
        <v>0</v>
      </c>
      <c r="I21" s="23">
        <v>0</v>
      </c>
      <c r="J21" s="66">
        <f t="shared" ref="J21" si="4">D21+F21+H21</f>
        <v>6</v>
      </c>
      <c r="K21" s="23">
        <f t="shared" ref="K21" si="5">E21+G21+I21</f>
        <v>7</v>
      </c>
      <c r="L21" s="21"/>
      <c r="M21" s="66">
        <v>0</v>
      </c>
      <c r="N21" s="23">
        <v>0</v>
      </c>
      <c r="O21" s="66">
        <v>0</v>
      </c>
      <c r="P21" s="23">
        <v>0</v>
      </c>
      <c r="Q21" s="66">
        <v>0</v>
      </c>
      <c r="R21" s="23">
        <v>0</v>
      </c>
      <c r="S21" s="32">
        <v>0</v>
      </c>
      <c r="T21" s="23">
        <v>0</v>
      </c>
      <c r="U21" s="30"/>
    </row>
    <row r="22" spans="1:21" ht="24.95" customHeight="1" x14ac:dyDescent="0.3">
      <c r="A22" s="38"/>
      <c r="B22" s="105" t="s">
        <v>33</v>
      </c>
      <c r="C22" s="48"/>
      <c r="D22" s="66">
        <v>0</v>
      </c>
      <c r="E22" s="23">
        <v>0</v>
      </c>
      <c r="F22" s="66">
        <v>2</v>
      </c>
      <c r="G22" s="23">
        <v>14</v>
      </c>
      <c r="H22" s="32">
        <v>1</v>
      </c>
      <c r="I22" s="23">
        <v>1</v>
      </c>
      <c r="J22" s="66">
        <f>D22+F22+H22</f>
        <v>3</v>
      </c>
      <c r="K22" s="23">
        <f>E22+G22+I22</f>
        <v>15</v>
      </c>
      <c r="L22" s="21"/>
      <c r="M22" s="81"/>
      <c r="N22" s="25"/>
      <c r="O22" s="81"/>
      <c r="P22" s="25"/>
      <c r="Q22" s="81"/>
      <c r="R22" s="25"/>
      <c r="S22" s="95"/>
      <c r="T22" s="25"/>
      <c r="U22" s="30"/>
    </row>
    <row r="23" spans="1:21" ht="24.95" customHeight="1" thickBot="1" x14ac:dyDescent="0.35">
      <c r="A23" s="38"/>
      <c r="B23" s="41" t="s">
        <v>9</v>
      </c>
      <c r="C23" s="49"/>
      <c r="D23" s="75">
        <f t="shared" ref="D23:K23" si="6">SUM(D19:D22)</f>
        <v>10</v>
      </c>
      <c r="E23" s="77">
        <f t="shared" si="6"/>
        <v>20</v>
      </c>
      <c r="F23" s="75">
        <f t="shared" si="6"/>
        <v>31</v>
      </c>
      <c r="G23" s="77">
        <f t="shared" si="6"/>
        <v>59</v>
      </c>
      <c r="H23" s="79">
        <f t="shared" si="6"/>
        <v>1</v>
      </c>
      <c r="I23" s="77">
        <f t="shared" si="6"/>
        <v>1</v>
      </c>
      <c r="J23" s="75">
        <f t="shared" si="6"/>
        <v>42</v>
      </c>
      <c r="K23" s="77">
        <f t="shared" si="6"/>
        <v>80</v>
      </c>
      <c r="L23" s="21"/>
      <c r="M23" s="67">
        <f t="shared" ref="M23:T23" si="7">SUM(M19:M22)</f>
        <v>0</v>
      </c>
      <c r="N23" s="77">
        <f t="shared" si="7"/>
        <v>0</v>
      </c>
      <c r="O23" s="67">
        <f t="shared" si="7"/>
        <v>0</v>
      </c>
      <c r="P23" s="77">
        <f t="shared" si="7"/>
        <v>0</v>
      </c>
      <c r="Q23" s="67">
        <f t="shared" si="7"/>
        <v>0</v>
      </c>
      <c r="R23" s="77">
        <f t="shared" si="7"/>
        <v>0</v>
      </c>
      <c r="S23" s="61">
        <f t="shared" si="7"/>
        <v>0</v>
      </c>
      <c r="T23" s="77">
        <f t="shared" si="7"/>
        <v>0</v>
      </c>
      <c r="U23" s="30"/>
    </row>
    <row r="24" spans="1:21" ht="24.95" customHeight="1" x14ac:dyDescent="0.3">
      <c r="A24" s="10">
        <v>3</v>
      </c>
      <c r="B24" s="37" t="s">
        <v>0</v>
      </c>
      <c r="C24" s="47" t="s">
        <v>31</v>
      </c>
      <c r="D24" s="65">
        <v>36</v>
      </c>
      <c r="E24" s="18">
        <v>25</v>
      </c>
      <c r="F24" s="65">
        <v>0</v>
      </c>
      <c r="G24" s="18">
        <v>0</v>
      </c>
      <c r="H24" s="20">
        <v>0</v>
      </c>
      <c r="I24" s="18">
        <v>0</v>
      </c>
      <c r="J24" s="80">
        <f t="shared" ref="J24:K27" si="8">D24+F24+H24</f>
        <v>36</v>
      </c>
      <c r="K24" s="63">
        <f t="shared" si="8"/>
        <v>25</v>
      </c>
      <c r="L24" s="31"/>
      <c r="M24" s="65">
        <v>0</v>
      </c>
      <c r="N24" s="18">
        <v>1</v>
      </c>
      <c r="O24" s="65">
        <v>0</v>
      </c>
      <c r="P24" s="18">
        <v>0</v>
      </c>
      <c r="Q24" s="65">
        <v>0</v>
      </c>
      <c r="R24" s="18">
        <v>0</v>
      </c>
      <c r="S24" s="20">
        <v>0</v>
      </c>
      <c r="T24" s="18">
        <v>0</v>
      </c>
      <c r="U24" s="89"/>
    </row>
    <row r="25" spans="1:21" ht="24.95" customHeight="1" x14ac:dyDescent="0.3">
      <c r="A25" s="12"/>
      <c r="C25" s="48" t="s">
        <v>32</v>
      </c>
      <c r="D25" s="66">
        <v>0</v>
      </c>
      <c r="E25" s="23">
        <v>0</v>
      </c>
      <c r="F25" s="66">
        <v>24</v>
      </c>
      <c r="G25" s="23">
        <v>15</v>
      </c>
      <c r="H25" s="32">
        <v>0</v>
      </c>
      <c r="I25" s="23">
        <v>0</v>
      </c>
      <c r="J25" s="66">
        <f t="shared" si="8"/>
        <v>24</v>
      </c>
      <c r="K25" s="23">
        <f t="shared" si="8"/>
        <v>15</v>
      </c>
      <c r="L25" s="21"/>
      <c r="M25" s="66">
        <v>0</v>
      </c>
      <c r="N25" s="23">
        <v>0</v>
      </c>
      <c r="O25" s="66">
        <v>0</v>
      </c>
      <c r="P25" s="23">
        <v>0</v>
      </c>
      <c r="Q25" s="66">
        <v>0</v>
      </c>
      <c r="R25" s="23">
        <v>0</v>
      </c>
      <c r="S25" s="32">
        <v>0</v>
      </c>
      <c r="T25" s="23">
        <v>0</v>
      </c>
      <c r="U25" s="30"/>
    </row>
    <row r="26" spans="1:21" ht="24.95" customHeight="1" x14ac:dyDescent="0.3">
      <c r="A26" s="12"/>
      <c r="C26" s="48" t="s">
        <v>36</v>
      </c>
      <c r="D26" s="66">
        <v>0</v>
      </c>
      <c r="E26" s="23">
        <v>0</v>
      </c>
      <c r="F26" s="66">
        <v>13</v>
      </c>
      <c r="G26" s="23">
        <v>6</v>
      </c>
      <c r="H26" s="32">
        <v>2</v>
      </c>
      <c r="I26" s="23">
        <v>0</v>
      </c>
      <c r="J26" s="66">
        <f t="shared" ref="J26" si="9">D26+F26+H26</f>
        <v>15</v>
      </c>
      <c r="K26" s="23">
        <f t="shared" ref="K26" si="10">E26+G26+I26</f>
        <v>6</v>
      </c>
      <c r="L26" s="21"/>
      <c r="M26" s="66">
        <v>0</v>
      </c>
      <c r="N26" s="23">
        <v>0</v>
      </c>
      <c r="O26" s="66">
        <v>0</v>
      </c>
      <c r="P26" s="23">
        <v>0</v>
      </c>
      <c r="Q26" s="66">
        <v>0</v>
      </c>
      <c r="R26" s="23">
        <v>0</v>
      </c>
      <c r="S26" s="32">
        <v>0</v>
      </c>
      <c r="T26" s="23">
        <v>0</v>
      </c>
      <c r="U26" s="30"/>
    </row>
    <row r="27" spans="1:21" ht="24.95" customHeight="1" x14ac:dyDescent="0.3">
      <c r="A27" s="12"/>
      <c r="C27" s="48" t="s">
        <v>37</v>
      </c>
      <c r="D27" s="66">
        <v>0</v>
      </c>
      <c r="E27" s="23">
        <v>0</v>
      </c>
      <c r="F27" s="66">
        <v>3</v>
      </c>
      <c r="G27" s="23">
        <v>1</v>
      </c>
      <c r="H27" s="32">
        <v>13</v>
      </c>
      <c r="I27" s="23">
        <v>5</v>
      </c>
      <c r="J27" s="66">
        <f t="shared" si="8"/>
        <v>16</v>
      </c>
      <c r="K27" s="23">
        <f t="shared" si="8"/>
        <v>6</v>
      </c>
      <c r="L27" s="21"/>
      <c r="M27" s="66">
        <v>0</v>
      </c>
      <c r="N27" s="23">
        <v>0</v>
      </c>
      <c r="O27" s="66">
        <v>0</v>
      </c>
      <c r="P27" s="23">
        <v>0</v>
      </c>
      <c r="Q27" s="66">
        <v>0</v>
      </c>
      <c r="R27" s="23">
        <v>0</v>
      </c>
      <c r="S27" s="32">
        <v>0</v>
      </c>
      <c r="T27" s="23">
        <v>0</v>
      </c>
      <c r="U27" s="30">
        <f>J30+K30</f>
        <v>216</v>
      </c>
    </row>
    <row r="28" spans="1:21" ht="24.95" customHeight="1" x14ac:dyDescent="0.3">
      <c r="A28" s="12"/>
      <c r="C28" s="48" t="s">
        <v>29</v>
      </c>
      <c r="D28" s="66">
        <v>0</v>
      </c>
      <c r="E28" s="23">
        <v>0</v>
      </c>
      <c r="F28" s="66">
        <v>0</v>
      </c>
      <c r="G28" s="23">
        <v>0</v>
      </c>
      <c r="H28" s="32">
        <v>17</v>
      </c>
      <c r="I28" s="23">
        <v>12</v>
      </c>
      <c r="J28" s="66">
        <f t="shared" ref="J28:J29" si="11">D28+F28+H28</f>
        <v>17</v>
      </c>
      <c r="K28" s="23">
        <f t="shared" ref="K28:K29" si="12">E28+G28+I28</f>
        <v>12</v>
      </c>
      <c r="L28" s="21"/>
      <c r="M28" s="66">
        <v>0</v>
      </c>
      <c r="N28" s="23">
        <v>0</v>
      </c>
      <c r="O28" s="66">
        <v>0</v>
      </c>
      <c r="P28" s="23">
        <v>0</v>
      </c>
      <c r="Q28" s="66">
        <v>0</v>
      </c>
      <c r="R28" s="23">
        <v>0</v>
      </c>
      <c r="S28" s="32">
        <v>0</v>
      </c>
      <c r="T28" s="23">
        <v>0</v>
      </c>
      <c r="U28" s="30"/>
    </row>
    <row r="29" spans="1:21" ht="24.95" customHeight="1" x14ac:dyDescent="0.3">
      <c r="A29" s="12"/>
      <c r="B29" s="96" t="s">
        <v>33</v>
      </c>
      <c r="C29" s="48"/>
      <c r="D29" s="66">
        <v>0</v>
      </c>
      <c r="E29" s="23">
        <v>0</v>
      </c>
      <c r="F29" s="66">
        <v>14</v>
      </c>
      <c r="G29" s="23">
        <v>5</v>
      </c>
      <c r="H29" s="32">
        <v>19</v>
      </c>
      <c r="I29" s="23">
        <v>6</v>
      </c>
      <c r="J29" s="66">
        <f t="shared" si="11"/>
        <v>33</v>
      </c>
      <c r="K29" s="23">
        <f t="shared" si="12"/>
        <v>11</v>
      </c>
      <c r="L29" s="21"/>
      <c r="M29" s="66">
        <v>0</v>
      </c>
      <c r="N29" s="23">
        <v>0</v>
      </c>
      <c r="O29" s="66">
        <v>0</v>
      </c>
      <c r="P29" s="23">
        <v>0</v>
      </c>
      <c r="Q29" s="66">
        <v>0</v>
      </c>
      <c r="R29" s="23">
        <v>0</v>
      </c>
      <c r="S29" s="32">
        <v>0</v>
      </c>
      <c r="T29" s="23">
        <v>0</v>
      </c>
      <c r="U29" s="30"/>
    </row>
    <row r="30" spans="1:21" ht="24.95" customHeight="1" thickBot="1" x14ac:dyDescent="0.35">
      <c r="A30" s="13"/>
      <c r="B30" s="35" t="s">
        <v>9</v>
      </c>
      <c r="C30" s="49"/>
      <c r="D30" s="75">
        <f t="shared" ref="D30:K30" si="13">SUM(D24:D29)</f>
        <v>36</v>
      </c>
      <c r="E30" s="77">
        <f t="shared" si="13"/>
        <v>25</v>
      </c>
      <c r="F30" s="75">
        <f t="shared" si="13"/>
        <v>54</v>
      </c>
      <c r="G30" s="77">
        <f t="shared" si="13"/>
        <v>27</v>
      </c>
      <c r="H30" s="79">
        <f t="shared" si="13"/>
        <v>51</v>
      </c>
      <c r="I30" s="77">
        <f t="shared" si="13"/>
        <v>23</v>
      </c>
      <c r="J30" s="75">
        <f t="shared" si="13"/>
        <v>141</v>
      </c>
      <c r="K30" s="77">
        <f t="shared" si="13"/>
        <v>75</v>
      </c>
      <c r="L30" s="28"/>
      <c r="M30" s="67">
        <f t="shared" ref="M30:T30" si="14">SUM(M24:M29)</f>
        <v>0</v>
      </c>
      <c r="N30" s="77">
        <f t="shared" si="14"/>
        <v>1</v>
      </c>
      <c r="O30" s="67">
        <f t="shared" si="14"/>
        <v>0</v>
      </c>
      <c r="P30" s="77">
        <f t="shared" si="14"/>
        <v>0</v>
      </c>
      <c r="Q30" s="67">
        <f t="shared" si="14"/>
        <v>0</v>
      </c>
      <c r="R30" s="77">
        <f t="shared" si="14"/>
        <v>0</v>
      </c>
      <c r="S30" s="61">
        <f t="shared" si="14"/>
        <v>0</v>
      </c>
      <c r="T30" s="77">
        <f t="shared" si="14"/>
        <v>0</v>
      </c>
      <c r="U30" s="30"/>
    </row>
    <row r="31" spans="1:21" ht="24.95" customHeight="1" x14ac:dyDescent="0.3">
      <c r="A31" s="9">
        <v>4</v>
      </c>
      <c r="B31" s="37" t="s">
        <v>12</v>
      </c>
      <c r="C31" s="47" t="s">
        <v>31</v>
      </c>
      <c r="D31" s="65">
        <v>11</v>
      </c>
      <c r="E31" s="18">
        <v>8</v>
      </c>
      <c r="F31" s="65">
        <v>0</v>
      </c>
      <c r="G31" s="18">
        <v>0</v>
      </c>
      <c r="H31" s="20">
        <v>0</v>
      </c>
      <c r="I31" s="18">
        <v>0</v>
      </c>
      <c r="J31" s="80">
        <f t="shared" ref="J31:K32" si="15">D31+F31+H31</f>
        <v>11</v>
      </c>
      <c r="K31" s="63">
        <f t="shared" si="15"/>
        <v>8</v>
      </c>
      <c r="L31" s="21"/>
      <c r="M31" s="65">
        <v>0</v>
      </c>
      <c r="N31" s="18">
        <v>0</v>
      </c>
      <c r="O31" s="65">
        <v>0</v>
      </c>
      <c r="P31" s="18">
        <v>0</v>
      </c>
      <c r="Q31" s="65">
        <v>0</v>
      </c>
      <c r="R31" s="18">
        <v>0</v>
      </c>
      <c r="S31" s="20">
        <v>0</v>
      </c>
      <c r="T31" s="18">
        <v>0</v>
      </c>
      <c r="U31" s="89"/>
    </row>
    <row r="32" spans="1:21" ht="24.95" customHeight="1" x14ac:dyDescent="0.3">
      <c r="A32" s="12"/>
      <c r="B32" s="36" t="s">
        <v>11</v>
      </c>
      <c r="C32" s="48" t="s">
        <v>32</v>
      </c>
      <c r="D32" s="66">
        <v>0</v>
      </c>
      <c r="E32" s="23">
        <v>0</v>
      </c>
      <c r="F32" s="66">
        <v>7</v>
      </c>
      <c r="G32" s="23">
        <v>4</v>
      </c>
      <c r="H32" s="32">
        <v>0</v>
      </c>
      <c r="I32" s="23">
        <v>0</v>
      </c>
      <c r="J32" s="66">
        <f t="shared" si="15"/>
        <v>7</v>
      </c>
      <c r="K32" s="23">
        <f t="shared" si="15"/>
        <v>4</v>
      </c>
      <c r="L32" s="21"/>
      <c r="M32" s="66">
        <v>0</v>
      </c>
      <c r="N32" s="23">
        <v>0</v>
      </c>
      <c r="O32" s="66">
        <v>0</v>
      </c>
      <c r="P32" s="23">
        <v>0</v>
      </c>
      <c r="Q32" s="66">
        <v>0</v>
      </c>
      <c r="R32" s="23">
        <v>0</v>
      </c>
      <c r="S32" s="32">
        <v>0</v>
      </c>
      <c r="T32" s="23">
        <v>0</v>
      </c>
      <c r="U32" s="30"/>
    </row>
    <row r="33" spans="1:21" ht="24.95" customHeight="1" x14ac:dyDescent="0.3">
      <c r="A33" s="12"/>
      <c r="B33" s="36"/>
      <c r="C33" s="48" t="s">
        <v>29</v>
      </c>
      <c r="D33" s="66">
        <v>0</v>
      </c>
      <c r="E33" s="23">
        <v>0</v>
      </c>
      <c r="F33" s="66">
        <v>2</v>
      </c>
      <c r="G33" s="23">
        <v>4</v>
      </c>
      <c r="H33" s="32">
        <v>0</v>
      </c>
      <c r="I33" s="23">
        <v>0</v>
      </c>
      <c r="J33" s="66">
        <f t="shared" ref="J33" si="16">D33+F33+H33</f>
        <v>2</v>
      </c>
      <c r="K33" s="23">
        <f t="shared" ref="K33" si="17">E33+G33+I33</f>
        <v>4</v>
      </c>
      <c r="L33" s="21"/>
      <c r="M33" s="66">
        <v>0</v>
      </c>
      <c r="N33" s="23">
        <v>0</v>
      </c>
      <c r="O33" s="66">
        <v>0</v>
      </c>
      <c r="P33" s="23">
        <v>0</v>
      </c>
      <c r="Q33" s="66">
        <v>0</v>
      </c>
      <c r="R33" s="23">
        <v>0</v>
      </c>
      <c r="S33" s="32">
        <v>0</v>
      </c>
      <c r="T33" s="23">
        <v>0</v>
      </c>
      <c r="U33" s="30"/>
    </row>
    <row r="34" spans="1:21" ht="24.95" customHeight="1" x14ac:dyDescent="0.3">
      <c r="A34" s="12"/>
      <c r="B34" s="96" t="s">
        <v>33</v>
      </c>
      <c r="C34" s="48"/>
      <c r="D34" s="66">
        <v>0</v>
      </c>
      <c r="E34" s="23">
        <v>0</v>
      </c>
      <c r="F34" s="66">
        <v>3</v>
      </c>
      <c r="G34" s="23">
        <v>2</v>
      </c>
      <c r="H34" s="32">
        <v>0</v>
      </c>
      <c r="I34" s="23">
        <v>0</v>
      </c>
      <c r="J34" s="66">
        <f t="shared" ref="J34" si="18">D34+F34+H34</f>
        <v>3</v>
      </c>
      <c r="K34" s="23">
        <f t="shared" ref="K34" si="19">E34+G34+I34</f>
        <v>2</v>
      </c>
      <c r="L34" s="21"/>
      <c r="M34" s="66">
        <v>0</v>
      </c>
      <c r="N34" s="23">
        <v>0</v>
      </c>
      <c r="O34" s="66">
        <v>0</v>
      </c>
      <c r="P34" s="23">
        <v>0</v>
      </c>
      <c r="Q34" s="66">
        <v>0</v>
      </c>
      <c r="R34" s="23">
        <v>0</v>
      </c>
      <c r="S34" s="32">
        <v>0</v>
      </c>
      <c r="T34" s="23">
        <v>0</v>
      </c>
      <c r="U34" s="30">
        <f>J35+K35</f>
        <v>41</v>
      </c>
    </row>
    <row r="35" spans="1:21" ht="24.95" customHeight="1" thickBot="1" x14ac:dyDescent="0.35">
      <c r="A35" s="12"/>
      <c r="B35" s="35" t="s">
        <v>9</v>
      </c>
      <c r="C35" s="49"/>
      <c r="D35" s="75">
        <f t="shared" ref="D35:K35" si="20">SUM(D31:D34)</f>
        <v>11</v>
      </c>
      <c r="E35" s="77">
        <f t="shared" si="20"/>
        <v>8</v>
      </c>
      <c r="F35" s="75">
        <f t="shared" si="20"/>
        <v>12</v>
      </c>
      <c r="G35" s="77">
        <f t="shared" si="20"/>
        <v>10</v>
      </c>
      <c r="H35" s="79">
        <f t="shared" si="20"/>
        <v>0</v>
      </c>
      <c r="I35" s="77">
        <f t="shared" si="20"/>
        <v>0</v>
      </c>
      <c r="J35" s="75">
        <f t="shared" si="20"/>
        <v>23</v>
      </c>
      <c r="K35" s="77">
        <f t="shared" si="20"/>
        <v>18</v>
      </c>
      <c r="L35" s="21"/>
      <c r="M35" s="67">
        <f t="shared" ref="M35:T35" si="21">SUM(M31:M34)</f>
        <v>0</v>
      </c>
      <c r="N35" s="77">
        <f t="shared" si="21"/>
        <v>0</v>
      </c>
      <c r="O35" s="67">
        <f t="shared" si="21"/>
        <v>0</v>
      </c>
      <c r="P35" s="77">
        <f t="shared" si="21"/>
        <v>0</v>
      </c>
      <c r="Q35" s="67">
        <f t="shared" si="21"/>
        <v>0</v>
      </c>
      <c r="R35" s="77">
        <f t="shared" si="21"/>
        <v>0</v>
      </c>
      <c r="S35" s="61">
        <f t="shared" si="21"/>
        <v>0</v>
      </c>
      <c r="T35" s="77">
        <f t="shared" si="21"/>
        <v>0</v>
      </c>
      <c r="U35" s="92"/>
    </row>
    <row r="36" spans="1:21" ht="24.95" customHeight="1" x14ac:dyDescent="0.3">
      <c r="A36" s="10">
        <v>5</v>
      </c>
      <c r="B36" s="42" t="s">
        <v>38</v>
      </c>
      <c r="C36" s="47" t="s">
        <v>31</v>
      </c>
      <c r="D36" s="65">
        <v>5</v>
      </c>
      <c r="E36" s="18">
        <v>15</v>
      </c>
      <c r="F36" s="65">
        <v>0</v>
      </c>
      <c r="G36" s="18">
        <v>0</v>
      </c>
      <c r="H36" s="20">
        <v>0</v>
      </c>
      <c r="I36" s="18">
        <v>0</v>
      </c>
      <c r="J36" s="80">
        <f t="shared" ref="J36:K37" si="22">D36+F36+H36</f>
        <v>5</v>
      </c>
      <c r="K36" s="63">
        <f t="shared" si="22"/>
        <v>15</v>
      </c>
      <c r="L36" s="31"/>
      <c r="M36" s="65">
        <v>0</v>
      </c>
      <c r="N36" s="18">
        <v>0</v>
      </c>
      <c r="O36" s="65">
        <v>0</v>
      </c>
      <c r="P36" s="18">
        <v>0</v>
      </c>
      <c r="Q36" s="65">
        <v>0</v>
      </c>
      <c r="R36" s="18">
        <v>0</v>
      </c>
      <c r="S36" s="20">
        <v>0</v>
      </c>
      <c r="T36" s="18">
        <v>0</v>
      </c>
      <c r="U36" s="93"/>
    </row>
    <row r="37" spans="1:21" ht="24.95" customHeight="1" x14ac:dyDescent="0.3">
      <c r="A37" s="12"/>
      <c r="B37" s="29" t="s">
        <v>10</v>
      </c>
      <c r="C37" s="48" t="s">
        <v>32</v>
      </c>
      <c r="D37" s="66">
        <v>0</v>
      </c>
      <c r="E37" s="23">
        <v>0</v>
      </c>
      <c r="F37" s="66">
        <v>5</v>
      </c>
      <c r="G37" s="23">
        <v>11</v>
      </c>
      <c r="H37" s="32">
        <v>0</v>
      </c>
      <c r="I37" s="23">
        <v>0</v>
      </c>
      <c r="J37" s="66">
        <f t="shared" si="22"/>
        <v>5</v>
      </c>
      <c r="K37" s="23">
        <f t="shared" si="22"/>
        <v>11</v>
      </c>
      <c r="L37" s="21"/>
      <c r="M37" s="66">
        <v>0</v>
      </c>
      <c r="N37" s="23">
        <v>0</v>
      </c>
      <c r="O37" s="66">
        <v>0</v>
      </c>
      <c r="P37" s="23">
        <v>0</v>
      </c>
      <c r="Q37" s="66">
        <v>0</v>
      </c>
      <c r="R37" s="23">
        <v>0</v>
      </c>
      <c r="S37" s="32">
        <v>0</v>
      </c>
      <c r="T37" s="23">
        <v>0</v>
      </c>
      <c r="U37" s="30">
        <f>J40+K40</f>
        <v>44</v>
      </c>
    </row>
    <row r="38" spans="1:21" ht="24.95" customHeight="1" x14ac:dyDescent="0.3">
      <c r="A38" s="12"/>
      <c r="B38" s="29"/>
      <c r="C38" s="48" t="s">
        <v>36</v>
      </c>
      <c r="D38" s="66">
        <v>0</v>
      </c>
      <c r="E38" s="23">
        <v>0</v>
      </c>
      <c r="F38" s="66">
        <v>0</v>
      </c>
      <c r="G38" s="23">
        <v>4</v>
      </c>
      <c r="H38" s="32">
        <v>0</v>
      </c>
      <c r="I38" s="23">
        <v>0</v>
      </c>
      <c r="J38" s="66">
        <f t="shared" ref="J38:J39" si="23">D38+F38+H38</f>
        <v>0</v>
      </c>
      <c r="K38" s="23">
        <f t="shared" ref="K38:K39" si="24">E38+G38+I38</f>
        <v>4</v>
      </c>
      <c r="L38" s="21"/>
      <c r="M38" s="66">
        <v>0</v>
      </c>
      <c r="N38" s="23">
        <v>0</v>
      </c>
      <c r="O38" s="66">
        <v>0</v>
      </c>
      <c r="P38" s="23">
        <v>0</v>
      </c>
      <c r="Q38" s="66">
        <v>0</v>
      </c>
      <c r="R38" s="23">
        <v>0</v>
      </c>
      <c r="S38" s="32">
        <v>0</v>
      </c>
      <c r="T38" s="23">
        <v>0</v>
      </c>
      <c r="U38" s="30"/>
    </row>
    <row r="39" spans="1:21" ht="24.95" customHeight="1" x14ac:dyDescent="0.3">
      <c r="A39" s="12"/>
      <c r="B39" s="96" t="s">
        <v>33</v>
      </c>
      <c r="C39" s="48"/>
      <c r="D39" s="66">
        <v>0</v>
      </c>
      <c r="E39" s="23">
        <v>0</v>
      </c>
      <c r="F39" s="66">
        <v>3</v>
      </c>
      <c r="G39" s="23">
        <v>1</v>
      </c>
      <c r="H39" s="32">
        <v>0</v>
      </c>
      <c r="I39" s="23">
        <v>0</v>
      </c>
      <c r="J39" s="66">
        <f t="shared" si="23"/>
        <v>3</v>
      </c>
      <c r="K39" s="23">
        <f t="shared" si="24"/>
        <v>1</v>
      </c>
      <c r="L39" s="21"/>
      <c r="M39" s="66">
        <v>0</v>
      </c>
      <c r="N39" s="23">
        <v>0</v>
      </c>
      <c r="O39" s="66">
        <v>0</v>
      </c>
      <c r="P39" s="23">
        <v>0</v>
      </c>
      <c r="Q39" s="66">
        <v>0</v>
      </c>
      <c r="R39" s="23">
        <v>0</v>
      </c>
      <c r="S39" s="32">
        <v>0</v>
      </c>
      <c r="T39" s="23">
        <v>0</v>
      </c>
      <c r="U39" s="93"/>
    </row>
    <row r="40" spans="1:21" ht="24.95" customHeight="1" thickBot="1" x14ac:dyDescent="0.35">
      <c r="A40" s="13"/>
      <c r="B40" s="43" t="s">
        <v>9</v>
      </c>
      <c r="C40" s="72"/>
      <c r="D40" s="75">
        <v>0</v>
      </c>
      <c r="E40" s="77">
        <v>0</v>
      </c>
      <c r="F40" s="75">
        <f>SUM(F36:F39)</f>
        <v>8</v>
      </c>
      <c r="G40" s="77">
        <f>SUM(G36:G39)</f>
        <v>16</v>
      </c>
      <c r="H40" s="79">
        <v>0</v>
      </c>
      <c r="I40" s="77">
        <v>0</v>
      </c>
      <c r="J40" s="75">
        <f>SUM(J36:J39)</f>
        <v>13</v>
      </c>
      <c r="K40" s="77">
        <f>SUM(K36:K39)</f>
        <v>31</v>
      </c>
      <c r="L40" s="28"/>
      <c r="M40" s="68">
        <v>0</v>
      </c>
      <c r="N40" s="77">
        <v>0</v>
      </c>
      <c r="O40" s="68">
        <v>0</v>
      </c>
      <c r="P40" s="77">
        <v>0</v>
      </c>
      <c r="Q40" s="71">
        <v>0</v>
      </c>
      <c r="R40" s="70">
        <v>0</v>
      </c>
      <c r="S40" s="62">
        <v>0</v>
      </c>
      <c r="T40" s="77">
        <v>0</v>
      </c>
      <c r="U40" s="92"/>
    </row>
    <row r="41" spans="1:21" ht="24.95" customHeight="1" x14ac:dyDescent="0.25">
      <c r="G41" s="50"/>
      <c r="H41" s="50" t="s">
        <v>23</v>
      </c>
      <c r="L41" s="85"/>
    </row>
    <row r="42" spans="1:21" ht="24.95" customHeight="1" thickBot="1" x14ac:dyDescent="0.3"/>
    <row r="43" spans="1:21" ht="24.95" customHeight="1" thickBot="1" x14ac:dyDescent="0.3">
      <c r="A43" s="56"/>
      <c r="B43" s="1"/>
      <c r="C43" s="2"/>
      <c r="D43" s="5" t="s">
        <v>2</v>
      </c>
      <c r="E43" s="5"/>
      <c r="F43" s="2"/>
      <c r="G43" s="2"/>
      <c r="H43" s="2"/>
      <c r="I43" s="2"/>
      <c r="J43" s="2"/>
      <c r="K43" s="3"/>
      <c r="L43" s="2"/>
      <c r="M43" s="4" t="s">
        <v>2</v>
      </c>
      <c r="N43" s="5" t="s">
        <v>7</v>
      </c>
      <c r="O43" s="2"/>
      <c r="P43" s="2"/>
      <c r="Q43" s="2"/>
      <c r="R43" s="2"/>
      <c r="S43" s="2"/>
      <c r="T43" s="2"/>
      <c r="U43" s="3"/>
    </row>
    <row r="44" spans="1:21" ht="33.75" customHeight="1" thickBot="1" x14ac:dyDescent="0.3">
      <c r="A44" s="57" t="s">
        <v>16</v>
      </c>
      <c r="B44" s="9" t="s">
        <v>1</v>
      </c>
      <c r="C44" s="8" t="s">
        <v>18</v>
      </c>
      <c r="D44" s="114" t="s">
        <v>4</v>
      </c>
      <c r="E44" s="115"/>
      <c r="F44" s="114" t="s">
        <v>5</v>
      </c>
      <c r="G44" s="115"/>
      <c r="H44" s="114" t="s">
        <v>6</v>
      </c>
      <c r="I44" s="116"/>
      <c r="J44" s="115" t="s">
        <v>3</v>
      </c>
      <c r="K44" s="116"/>
      <c r="L44" s="6"/>
      <c r="M44" s="107" t="s">
        <v>4</v>
      </c>
      <c r="N44" s="113"/>
      <c r="O44" s="106" t="s">
        <v>5</v>
      </c>
      <c r="P44" s="107"/>
      <c r="Q44" s="108" t="s">
        <v>6</v>
      </c>
      <c r="R44" s="109"/>
      <c r="S44" s="107" t="s">
        <v>3</v>
      </c>
      <c r="T44" s="107"/>
      <c r="U44" s="84" t="s">
        <v>28</v>
      </c>
    </row>
    <row r="45" spans="1:21" ht="15.75" customHeight="1" thickBot="1" x14ac:dyDescent="0.3">
      <c r="A45" s="58" t="s">
        <v>17</v>
      </c>
      <c r="B45" s="11"/>
      <c r="D45" s="15" t="s">
        <v>14</v>
      </c>
      <c r="E45" s="69" t="s">
        <v>13</v>
      </c>
      <c r="F45" s="15" t="s">
        <v>14</v>
      </c>
      <c r="G45" s="69" t="s">
        <v>13</v>
      </c>
      <c r="H45" s="74" t="s">
        <v>14</v>
      </c>
      <c r="I45" s="76" t="s">
        <v>13</v>
      </c>
      <c r="J45" s="15" t="s">
        <v>14</v>
      </c>
      <c r="K45" s="14" t="s">
        <v>13</v>
      </c>
      <c r="L45" s="16"/>
      <c r="M45" s="74" t="s">
        <v>14</v>
      </c>
      <c r="N45" s="82" t="s">
        <v>13</v>
      </c>
      <c r="O45" s="74" t="s">
        <v>14</v>
      </c>
      <c r="P45" s="76" t="s">
        <v>13</v>
      </c>
      <c r="Q45" s="78" t="s">
        <v>14</v>
      </c>
      <c r="R45" s="82" t="s">
        <v>13</v>
      </c>
      <c r="S45" s="74" t="s">
        <v>14</v>
      </c>
      <c r="T45" s="76" t="s">
        <v>13</v>
      </c>
      <c r="U45" s="83" t="s">
        <v>15</v>
      </c>
    </row>
    <row r="46" spans="1:21" ht="24.95" customHeight="1" thickBot="1" x14ac:dyDescent="0.35">
      <c r="A46" s="22">
        <v>6</v>
      </c>
      <c r="B46" s="59" t="s">
        <v>39</v>
      </c>
      <c r="C46" s="46" t="s">
        <v>8</v>
      </c>
      <c r="D46" s="65">
        <v>5</v>
      </c>
      <c r="E46" s="18">
        <v>5</v>
      </c>
      <c r="F46" s="65">
        <v>0</v>
      </c>
      <c r="G46" s="18">
        <v>0</v>
      </c>
      <c r="H46" s="65">
        <v>0</v>
      </c>
      <c r="I46" s="18">
        <v>0</v>
      </c>
      <c r="J46" s="65">
        <f t="shared" ref="J46:K48" si="25">D46+F46+H46</f>
        <v>5</v>
      </c>
      <c r="K46" s="18">
        <f t="shared" si="25"/>
        <v>5</v>
      </c>
      <c r="L46" s="31"/>
      <c r="M46" s="19">
        <v>0</v>
      </c>
      <c r="N46" s="19">
        <v>0</v>
      </c>
      <c r="O46" s="65">
        <v>0</v>
      </c>
      <c r="P46" s="18">
        <v>0</v>
      </c>
      <c r="Q46" s="20">
        <v>0</v>
      </c>
      <c r="R46" s="19">
        <v>0</v>
      </c>
      <c r="S46" s="65">
        <v>0</v>
      </c>
      <c r="T46" s="18">
        <v>0</v>
      </c>
      <c r="U46" s="90"/>
    </row>
    <row r="47" spans="1:21" ht="24.95" customHeight="1" x14ac:dyDescent="0.3">
      <c r="A47" s="22"/>
      <c r="B47" s="59" t="s">
        <v>40</v>
      </c>
      <c r="C47" s="98" t="s">
        <v>32</v>
      </c>
      <c r="D47" s="65">
        <v>0</v>
      </c>
      <c r="E47" s="18">
        <v>0</v>
      </c>
      <c r="F47" s="65">
        <v>7</v>
      </c>
      <c r="G47" s="18">
        <v>9</v>
      </c>
      <c r="H47" s="65">
        <v>0</v>
      </c>
      <c r="I47" s="18">
        <v>0</v>
      </c>
      <c r="J47" s="65">
        <f t="shared" si="25"/>
        <v>7</v>
      </c>
      <c r="K47" s="18">
        <f t="shared" si="25"/>
        <v>9</v>
      </c>
      <c r="L47" s="31"/>
      <c r="M47" s="19">
        <v>0</v>
      </c>
      <c r="N47" s="19">
        <v>0</v>
      </c>
      <c r="O47" s="65">
        <v>0</v>
      </c>
      <c r="P47" s="18">
        <v>0</v>
      </c>
      <c r="Q47" s="20">
        <v>0</v>
      </c>
      <c r="R47" s="19">
        <v>0</v>
      </c>
      <c r="S47" s="65">
        <v>0</v>
      </c>
      <c r="T47" s="18">
        <v>0</v>
      </c>
      <c r="U47" s="99"/>
    </row>
    <row r="48" spans="1:21" ht="24.95" customHeight="1" x14ac:dyDescent="0.3">
      <c r="A48" s="44"/>
      <c r="B48" s="96" t="s">
        <v>33</v>
      </c>
      <c r="C48" s="48"/>
      <c r="D48" s="66">
        <v>0</v>
      </c>
      <c r="E48" s="23">
        <v>0</v>
      </c>
      <c r="F48" s="66">
        <v>2</v>
      </c>
      <c r="G48" s="23">
        <v>2</v>
      </c>
      <c r="H48" s="66">
        <v>0</v>
      </c>
      <c r="I48" s="23">
        <v>0</v>
      </c>
      <c r="J48" s="66">
        <f t="shared" si="25"/>
        <v>2</v>
      </c>
      <c r="K48" s="23">
        <f t="shared" si="25"/>
        <v>2</v>
      </c>
      <c r="L48" s="21"/>
      <c r="M48" s="24">
        <v>0</v>
      </c>
      <c r="N48" s="24">
        <v>0</v>
      </c>
      <c r="O48" s="66">
        <v>0</v>
      </c>
      <c r="P48" s="23">
        <v>0</v>
      </c>
      <c r="Q48" s="32">
        <v>0</v>
      </c>
      <c r="R48" s="24">
        <v>0</v>
      </c>
      <c r="S48" s="66">
        <v>0</v>
      </c>
      <c r="T48" s="23">
        <v>0</v>
      </c>
      <c r="U48" s="26">
        <f>J49+K49</f>
        <v>30</v>
      </c>
    </row>
    <row r="49" spans="1:21" ht="24.95" customHeight="1" thickBot="1" x14ac:dyDescent="0.35">
      <c r="A49" s="45"/>
      <c r="B49" s="43" t="s">
        <v>9</v>
      </c>
      <c r="C49" s="34"/>
      <c r="D49" s="75">
        <f t="shared" ref="D49:K49" si="26">SUM(D46:D48)</f>
        <v>5</v>
      </c>
      <c r="E49" s="77">
        <f t="shared" si="26"/>
        <v>5</v>
      </c>
      <c r="F49" s="75">
        <f t="shared" si="26"/>
        <v>9</v>
      </c>
      <c r="G49" s="77">
        <f t="shared" si="26"/>
        <v>11</v>
      </c>
      <c r="H49" s="75">
        <f t="shared" si="26"/>
        <v>0</v>
      </c>
      <c r="I49" s="77">
        <f t="shared" si="26"/>
        <v>0</v>
      </c>
      <c r="J49" s="73">
        <f t="shared" si="26"/>
        <v>14</v>
      </c>
      <c r="K49" s="60">
        <f t="shared" si="26"/>
        <v>16</v>
      </c>
      <c r="L49" s="27"/>
      <c r="M49" s="75">
        <f t="shared" ref="M49:T49" si="27">SUM(M46:M48)</f>
        <v>0</v>
      </c>
      <c r="N49" s="86">
        <f t="shared" si="27"/>
        <v>0</v>
      </c>
      <c r="O49" s="75">
        <f t="shared" si="27"/>
        <v>0</v>
      </c>
      <c r="P49" s="77">
        <f t="shared" si="27"/>
        <v>0</v>
      </c>
      <c r="Q49" s="79">
        <f t="shared" si="27"/>
        <v>0</v>
      </c>
      <c r="R49" s="86">
        <f t="shared" si="27"/>
        <v>0</v>
      </c>
      <c r="S49" s="75">
        <f t="shared" si="27"/>
        <v>0</v>
      </c>
      <c r="T49" s="77">
        <f t="shared" si="27"/>
        <v>0</v>
      </c>
      <c r="U49" s="91"/>
    </row>
    <row r="50" spans="1:21" ht="18.75" x14ac:dyDescent="0.3">
      <c r="D50" s="33"/>
      <c r="E50" s="33"/>
    </row>
    <row r="51" spans="1:21" ht="18.75" x14ac:dyDescent="0.3">
      <c r="D51" s="33"/>
      <c r="E51" s="33"/>
    </row>
    <row r="52" spans="1:21" ht="18.75" x14ac:dyDescent="0.3">
      <c r="D52" s="33"/>
      <c r="E52" s="33"/>
    </row>
    <row r="53" spans="1:21" ht="18.75" x14ac:dyDescent="0.3">
      <c r="D53" s="64"/>
      <c r="E53" s="64"/>
    </row>
    <row r="54" spans="1:21" ht="19.5" thickBot="1" x14ac:dyDescent="0.35">
      <c r="B54" s="87" t="s">
        <v>19</v>
      </c>
      <c r="D54" s="33"/>
      <c r="E54" s="33"/>
    </row>
    <row r="55" spans="1:21" ht="31.5" customHeight="1" thickBot="1" x14ac:dyDescent="0.35">
      <c r="B55" s="100" t="s">
        <v>27</v>
      </c>
      <c r="C55" s="17">
        <f>U16+U20+U27+U34+U37+U48</f>
        <v>483</v>
      </c>
      <c r="D55" s="33"/>
      <c r="E55" s="33"/>
      <c r="H55" s="52" t="s">
        <v>20</v>
      </c>
      <c r="I55" s="52"/>
      <c r="J55" s="52"/>
      <c r="K55" s="52"/>
      <c r="L55" s="52"/>
      <c r="M55" s="52"/>
      <c r="N55" s="52"/>
      <c r="O55" s="52"/>
      <c r="P55" s="52"/>
      <c r="Q55" s="51"/>
    </row>
    <row r="56" spans="1:21" ht="26.25" customHeight="1" thickBot="1" x14ac:dyDescent="0.35">
      <c r="B56" s="103" t="s">
        <v>25</v>
      </c>
      <c r="C56" s="104">
        <f>J18+J23+J30+J35+J40+J49</f>
        <v>241</v>
      </c>
      <c r="D56" s="64"/>
      <c r="E56" s="33"/>
      <c r="H56" s="51" t="s">
        <v>21</v>
      </c>
      <c r="I56" s="51"/>
      <c r="J56" s="51"/>
      <c r="K56" s="51"/>
      <c r="L56" s="51"/>
      <c r="M56" s="51"/>
      <c r="N56" s="51"/>
      <c r="O56" s="51"/>
      <c r="P56" s="51"/>
      <c r="Q56" s="51"/>
    </row>
    <row r="57" spans="1:21" ht="31.5" customHeight="1" thickBot="1" x14ac:dyDescent="0.35">
      <c r="B57" s="101" t="s">
        <v>26</v>
      </c>
      <c r="C57" s="102">
        <f>K18+K23+K30+K35+K40+K49</f>
        <v>242</v>
      </c>
      <c r="D57" s="64"/>
      <c r="E57" s="33"/>
      <c r="H57" s="51" t="s">
        <v>22</v>
      </c>
      <c r="I57" s="51"/>
      <c r="J57" s="51"/>
      <c r="K57" s="51"/>
      <c r="L57" s="51"/>
      <c r="M57" s="51"/>
      <c r="N57" s="51"/>
      <c r="O57" s="51"/>
      <c r="P57" s="51"/>
      <c r="Q57" s="51"/>
    </row>
    <row r="58" spans="1:21" ht="18.75" x14ac:dyDescent="0.3">
      <c r="D58" s="64"/>
      <c r="E58" s="64"/>
    </row>
    <row r="59" spans="1:21" ht="18.75" x14ac:dyDescent="0.3">
      <c r="D59" s="33"/>
      <c r="E59" s="33"/>
    </row>
    <row r="60" spans="1:21" ht="18.75" x14ac:dyDescent="0.3">
      <c r="D60" s="33"/>
      <c r="E60" s="33"/>
    </row>
    <row r="61" spans="1:21" ht="18.75" x14ac:dyDescent="0.3">
      <c r="D61" s="33"/>
      <c r="E61" s="33"/>
    </row>
    <row r="79" spans="8:8" x14ac:dyDescent="0.25">
      <c r="H79" s="50" t="s">
        <v>24</v>
      </c>
    </row>
  </sheetData>
  <mergeCells count="16">
    <mergeCell ref="O44:P44"/>
    <mergeCell ref="Q44:R44"/>
    <mergeCell ref="S44:T44"/>
    <mergeCell ref="D44:E44"/>
    <mergeCell ref="F44:G44"/>
    <mergeCell ref="H44:I44"/>
    <mergeCell ref="J44:K44"/>
    <mergeCell ref="M44:N44"/>
    <mergeCell ref="O13:P13"/>
    <mergeCell ref="Q13:R13"/>
    <mergeCell ref="S13:T13"/>
    <mergeCell ref="D13:E13"/>
    <mergeCell ref="F13:G13"/>
    <mergeCell ref="H13:I13"/>
    <mergeCell ref="J13:K13"/>
    <mergeCell ref="M13:N13"/>
  </mergeCells>
  <pageMargins left="0.71" right="0.23622047244094491" top="0.32" bottom="0.33" header="0.31496062992125984" footer="0.31496062992125984"/>
  <pageSetup scale="64" orientation="landscape" horizontalDpi="0" verticalDpi="0" r:id="rId1"/>
  <rowBreaks count="1" manualBreakCount="1">
    <brk id="41" max="20" man="1"/>
  </rowBreaks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 sizeWithCells="1">
              <from>
                <xdr:col>1</xdr:col>
                <xdr:colOff>390525</xdr:colOff>
                <xdr:row>0</xdr:row>
                <xdr:rowOff>161925</xdr:rowOff>
              </from>
              <to>
                <xdr:col>1</xdr:col>
                <xdr:colOff>1295400</xdr:colOff>
                <xdr:row>5</xdr:row>
                <xdr:rowOff>142875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Registro Academico</dc:creator>
  <cp:lastModifiedBy>Registro Academico</cp:lastModifiedBy>
  <cp:lastPrinted>2026-02-16T17:49:46Z</cp:lastPrinted>
  <dcterms:created xsi:type="dcterms:W3CDTF">2025-07-11T15:16:38Z</dcterms:created>
  <dcterms:modified xsi:type="dcterms:W3CDTF">2026-02-16T21:18:13Z</dcterms:modified>
</cp:coreProperties>
</file>